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F1E2A39-3895-4173-BE07-A5B41A22E5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2" i="1"/>
  <c r="Q3" i="1"/>
  <c r="Q4" i="1"/>
  <c r="Q5" i="1"/>
  <c r="Q6" i="1"/>
  <c r="Q7" i="1"/>
  <c r="Q8" i="1"/>
  <c r="Q9" i="1"/>
  <c r="Q10" i="1"/>
  <c r="Q11" i="1"/>
  <c r="Q12" i="1"/>
  <c r="Q2" i="1"/>
  <c r="P3" i="1"/>
  <c r="P4" i="1"/>
  <c r="P5" i="1"/>
  <c r="P6" i="1"/>
  <c r="P7" i="1"/>
  <c r="P8" i="1"/>
  <c r="P9" i="1"/>
  <c r="P10" i="1"/>
  <c r="P11" i="1"/>
  <c r="P12" i="1"/>
  <c r="P2" i="1"/>
  <c r="O3" i="1"/>
  <c r="O4" i="1"/>
  <c r="O5" i="1"/>
  <c r="O6" i="1"/>
  <c r="O7" i="1"/>
  <c r="O8" i="1"/>
  <c r="O9" i="1"/>
  <c r="O10" i="1"/>
  <c r="O11" i="1"/>
  <c r="O12" i="1"/>
  <c r="O2" i="1"/>
  <c r="N3" i="1"/>
  <c r="N4" i="1"/>
  <c r="N5" i="1"/>
  <c r="N6" i="1"/>
  <c r="N7" i="1"/>
  <c r="N8" i="1"/>
  <c r="N9" i="1"/>
  <c r="N10" i="1"/>
  <c r="N11" i="1"/>
  <c r="N12" i="1"/>
  <c r="N2" i="1"/>
  <c r="M3" i="1"/>
  <c r="M4" i="1"/>
  <c r="M5" i="1"/>
  <c r="M6" i="1"/>
  <c r="M7" i="1"/>
  <c r="M8" i="1"/>
  <c r="M9" i="1"/>
  <c r="M10" i="1"/>
  <c r="M11" i="1"/>
  <c r="M12" i="1"/>
  <c r="M2" i="1"/>
  <c r="L3" i="1"/>
  <c r="L4" i="1"/>
  <c r="L5" i="1"/>
  <c r="L6" i="1"/>
  <c r="L7" i="1"/>
  <c r="L8" i="1"/>
  <c r="L9" i="1"/>
  <c r="L10" i="1"/>
  <c r="L11" i="1"/>
  <c r="L12" i="1"/>
  <c r="L2" i="1"/>
  <c r="K3" i="1"/>
  <c r="K4" i="1"/>
  <c r="K5" i="1"/>
  <c r="K6" i="1"/>
  <c r="K7" i="1"/>
  <c r="K8" i="1"/>
  <c r="K9" i="1"/>
  <c r="K10" i="1"/>
  <c r="K11" i="1"/>
  <c r="K12" i="1"/>
  <c r="K2" i="1"/>
  <c r="J3" i="1"/>
  <c r="J4" i="1"/>
  <c r="J5" i="1"/>
  <c r="J6" i="1"/>
  <c r="J7" i="1"/>
  <c r="J8" i="1"/>
  <c r="J9" i="1"/>
  <c r="J10" i="1"/>
  <c r="J11" i="1"/>
  <c r="J12" i="1"/>
  <c r="J2" i="1"/>
  <c r="I3" i="1"/>
  <c r="I4" i="1"/>
  <c r="I5" i="1"/>
  <c r="I6" i="1"/>
  <c r="I7" i="1"/>
  <c r="I8" i="1"/>
  <c r="I9" i="1"/>
  <c r="I10" i="1"/>
  <c r="I11" i="1"/>
  <c r="I12" i="1"/>
  <c r="I2" i="1"/>
  <c r="H3" i="1"/>
  <c r="H4" i="1"/>
  <c r="H5" i="1"/>
  <c r="H6" i="1"/>
  <c r="H7" i="1"/>
  <c r="H8" i="1"/>
  <c r="H9" i="1"/>
  <c r="H10" i="1"/>
  <c r="H11" i="1"/>
  <c r="H12" i="1"/>
  <c r="H2" i="1"/>
  <c r="G3" i="1"/>
  <c r="G4" i="1"/>
  <c r="G5" i="1"/>
  <c r="G6" i="1"/>
  <c r="G7" i="1"/>
  <c r="G8" i="1"/>
  <c r="G9" i="1"/>
  <c r="G10" i="1"/>
  <c r="G11" i="1"/>
  <c r="G12" i="1"/>
  <c r="G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<sst xmlns="http://schemas.openxmlformats.org/spreadsheetml/2006/main" count="40" uniqueCount="30">
  <si>
    <t>Employee</t>
  </si>
  <si>
    <t>Department</t>
  </si>
  <si>
    <t>Salary</t>
  </si>
  <si>
    <t>Sales</t>
  </si>
  <si>
    <t>Performance Score</t>
  </si>
  <si>
    <t>Rahul</t>
  </si>
  <si>
    <t>Priya</t>
  </si>
  <si>
    <t>HR</t>
  </si>
  <si>
    <t>Amit</t>
  </si>
  <si>
    <t>Sneha</t>
  </si>
  <si>
    <t>IT</t>
  </si>
  <si>
    <t>Karan</t>
  </si>
  <si>
    <t>Neha</t>
  </si>
  <si>
    <t>Rohit</t>
  </si>
  <si>
    <t>Pooja</t>
  </si>
  <si>
    <t>Akash</t>
  </si>
  <si>
    <t>Meena</t>
  </si>
  <si>
    <t>upper</t>
  </si>
  <si>
    <t>loewr</t>
  </si>
  <si>
    <t>proper</t>
  </si>
  <si>
    <t>left</t>
  </si>
  <si>
    <t>right</t>
  </si>
  <si>
    <t>mid</t>
  </si>
  <si>
    <t>length</t>
  </si>
  <si>
    <t>trim</t>
  </si>
  <si>
    <t>concatinate</t>
  </si>
  <si>
    <t>textjoin</t>
  </si>
  <si>
    <t>find</t>
  </si>
  <si>
    <t>substitute</t>
  </si>
  <si>
    <t>Replase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</si>
</sst>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8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3B0EE-7760-4B28-B189-8A73F5531F51}" name="Table1" displayName="Table1" ref="A1:R12" totalsRowShown="0" headerRowDxfId="19" dataDxfId="0" tableBorderDxfId="20">
  <autoFilter ref="A1:R12" xr:uid="{DB43B0EE-7760-4B28-B189-8A73F5531F51}"/>
  <tableColumns count="18">
    <tableColumn id="1" xr3:uid="{2BCB45A1-3B73-4002-8D9B-93675A680A6C}" name="Employee" dataDxfId="18"/>
    <tableColumn id="2" xr3:uid="{A2B55938-2E4C-44A9-8F8F-D127F511DEB7}" name="Department" dataDxfId="17"/>
    <tableColumn id="3" xr3:uid="{ADC74CA6-F1F9-466E-83E3-8B240AB4BDDD}" name="Salary" dataDxfId="16"/>
    <tableColumn id="4" xr3:uid="{1BBB6EF0-F945-49F8-B4CF-EB8E652838BD}" name="Sales" dataDxfId="15"/>
    <tableColumn id="5" xr3:uid="{14945B3A-9D32-460A-AAE5-9B6341830FEB}" name="Performance Score" dataDxfId="14"/>
    <tableColumn id="6" xr3:uid="{1CC97D1E-6EDE-430A-9EB6-264D17ABD32A}" name="upper" dataDxfId="13">
      <calculatedColumnFormula>UPPER(A2)</calculatedColumnFormula>
    </tableColumn>
    <tableColumn id="7" xr3:uid="{CE238FA3-94C0-4346-81D0-DDC1889BA97B}" name="loewr" dataDxfId="12">
      <calculatedColumnFormula>LOWER(A2)</calculatedColumnFormula>
    </tableColumn>
    <tableColumn id="8" xr3:uid="{5337F12F-D440-4248-851E-53FAE830CBD8}" name="proper" dataDxfId="11">
      <calculatedColumnFormula>PROPER(A2)</calculatedColumnFormula>
    </tableColumn>
    <tableColumn id="9" xr3:uid="{8B859D1C-52B9-4ABE-A7F7-2247D4F220F9}" name="left" dataDxfId="10">
      <calculatedColumnFormula>LEFT(A2,2)</calculatedColumnFormula>
    </tableColumn>
    <tableColumn id="10" xr3:uid="{DE89C5FA-699C-4EB7-BFDE-FF49975D929F}" name="right" dataDxfId="9">
      <calculatedColumnFormula>RIGHT(A2,2)</calculatedColumnFormula>
    </tableColumn>
    <tableColumn id="11" xr3:uid="{CF8F2D6F-68C6-46C0-A04E-D74B37D8E463}" name="mid" dataDxfId="8">
      <calculatedColumnFormula>MID(A2,2,2)</calculatedColumnFormula>
    </tableColumn>
    <tableColumn id="12" xr3:uid="{44771FEB-20DA-4BBB-863A-C99BC788FEDB}" name="length" dataDxfId="7">
      <calculatedColumnFormula>LEN(A2)</calculatedColumnFormula>
    </tableColumn>
    <tableColumn id="13" xr3:uid="{CDFCB379-D444-451A-B9ED-0A076B301DC3}" name="trim" dataDxfId="6">
      <calculatedColumnFormula>TRIM(A2)</calculatedColumnFormula>
    </tableColumn>
    <tableColumn id="14" xr3:uid="{FF70ACAD-1394-4147-9F44-A3AE1FAF2519}" name="concatinate" dataDxfId="5">
      <calculatedColumnFormula>CONCATENATE(A2," ",B2)</calculatedColumnFormula>
    </tableColumn>
    <tableColumn id="15" xr3:uid="{45637B0C-A75D-4045-909C-6F587FAF0680}" name="textjoin" dataDxfId="4">
      <calculatedColumnFormula>_xlfn.TEXTJOIN(" ", TRUE, A2, B2)</calculatedColumnFormula>
    </tableColumn>
    <tableColumn id="16" xr3:uid="{3D42E57C-9120-4268-859F-B60F97FF1F82}" name="find" dataDxfId="3">
      <calculatedColumnFormula>FIND("a", A2)</calculatedColumnFormula>
    </tableColumn>
    <tableColumn id="17" xr3:uid="{AD6DAF4F-0527-4BC7-862B-EB0A3C293682}" name="Replase" dataDxfId="2">
      <calculatedColumnFormula>REPLACE(A2, 1, 2, "i")</calculatedColumnFormula>
    </tableColumn>
    <tableColumn id="18" xr3:uid="{6A243B70-71A3-4056-A6A4-0492F7F57B18}" name="substitute" dataDxfId="1">
      <calculatedColumnFormula>SUBSTITUTE(A2, "a", "hh")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F23" sqref="F23"/>
    </sheetView>
  </sheetViews>
  <sheetFormatPr defaultColWidth="8.88671875" defaultRowHeight="14.4"/>
  <cols>
    <col min="1" max="1" width="14" customWidth="1"/>
    <col min="2" max="2" width="15.6640625" customWidth="1"/>
    <col min="3" max="3" width="13.44140625" customWidth="1"/>
    <col min="4" max="4" width="14.21875" customWidth="1"/>
    <col min="5" max="5" width="18.88671875" customWidth="1"/>
    <col min="14" max="14" width="12.77734375" customWidth="1"/>
    <col min="15" max="15" width="10.6640625" customWidth="1"/>
    <col min="16" max="16" width="10.33203125" customWidth="1"/>
    <col min="17" max="17" width="9.33203125" customWidth="1"/>
    <col min="18" max="18" width="11.21875" customWidth="1"/>
  </cols>
  <sheetData>
    <row r="1" spans="1:18" ht="28.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29</v>
      </c>
      <c r="R1" s="1" t="s">
        <v>28</v>
      </c>
    </row>
    <row r="2" spans="1:18">
      <c r="A2" s="4" t="s">
        <v>5</v>
      </c>
      <c r="B2" s="4" t="s">
        <v>3</v>
      </c>
      <c r="C2" s="4">
        <v>35000</v>
      </c>
      <c r="D2" s="4">
        <v>85000</v>
      </c>
      <c r="E2" s="4">
        <v>82</v>
      </c>
      <c r="F2" s="6" t="str">
        <f>UPPER(A2)</f>
        <v>RAHUL</v>
      </c>
      <c r="G2" s="6" t="str">
        <f>LOWER(A2)</f>
        <v>rahul</v>
      </c>
      <c r="H2" s="6" t="str">
        <f>PROPER(A2)</f>
        <v>Rahul</v>
      </c>
      <c r="I2" s="6" t="str">
        <f>LEFT(A2,2)</f>
        <v>Ra</v>
      </c>
      <c r="J2" s="6" t="str">
        <f>RIGHT(A2,2)</f>
        <v>ul</v>
      </c>
      <c r="K2" s="6" t="str">
        <f>MID(A2,2,2)</f>
        <v>ah</v>
      </c>
      <c r="L2" s="6">
        <f>LEN(A2)</f>
        <v>5</v>
      </c>
      <c r="M2" s="6" t="str">
        <f>TRIM(A2)</f>
        <v>Rahul</v>
      </c>
      <c r="N2" s="6" t="str">
        <f>CONCATENATE(A2," ",B2)</f>
        <v>Rahul Sales</v>
      </c>
      <c r="O2" s="6" t="str">
        <f>_xlfn.TEXTJOIN(" ", TRUE, A2, B2)</f>
        <v>Rahul Sales</v>
      </c>
      <c r="P2" s="6">
        <f>FIND("a", A2)</f>
        <v>2</v>
      </c>
      <c r="Q2" s="6" t="str">
        <f>REPLACE(A2, 1, 2, "i")</f>
        <v>ihul</v>
      </c>
      <c r="R2" s="6" t="str">
        <f>SUBSTITUTE(A2, "a", "hh")</f>
        <v>Rhhhul</v>
      </c>
    </row>
    <row r="3" spans="1:18">
      <c r="A3" s="5" t="s">
        <v>6</v>
      </c>
      <c r="B3" s="5" t="s">
        <v>7</v>
      </c>
      <c r="C3" s="5">
        <v>40000</v>
      </c>
      <c r="D3" s="5">
        <v>60000</v>
      </c>
      <c r="E3" s="5">
        <v>75</v>
      </c>
      <c r="F3" s="6" t="str">
        <f t="shared" ref="F3:F12" si="0">UPPER(A3)</f>
        <v>PRIYA</v>
      </c>
      <c r="G3" s="6" t="str">
        <f t="shared" ref="G3:G12" si="1">LOWER(A3)</f>
        <v>priya</v>
      </c>
      <c r="H3" s="6" t="str">
        <f t="shared" ref="H3:H12" si="2">PROPER(A3)</f>
        <v>Priya</v>
      </c>
      <c r="I3" s="6" t="str">
        <f t="shared" ref="I3:I12" si="3">LEFT(A3,2)</f>
        <v>Pr</v>
      </c>
      <c r="J3" s="6" t="str">
        <f t="shared" ref="J3:J12" si="4">RIGHT(A3,2)</f>
        <v>ya</v>
      </c>
      <c r="K3" s="6" t="str">
        <f t="shared" ref="K3:K12" si="5">MID(A3,2,2)</f>
        <v>ri</v>
      </c>
      <c r="L3" s="6">
        <f t="shared" ref="L3:L12" si="6">LEN(A3)</f>
        <v>5</v>
      </c>
      <c r="M3" s="6" t="str">
        <f t="shared" ref="M3:M12" si="7">TRIM(A3)</f>
        <v>Priya</v>
      </c>
      <c r="N3" s="6" t="str">
        <f t="shared" ref="N3:N12" si="8">CONCATENATE(A3," ",B3)</f>
        <v>Priya HR</v>
      </c>
      <c r="O3" s="6" t="str">
        <f t="shared" ref="O3:O12" si="9">_xlfn.TEXTJOIN(" ", TRUE, A3, B3)</f>
        <v>Priya HR</v>
      </c>
      <c r="P3" s="6">
        <f t="shared" ref="P3:P12" si="10">FIND("a", A3)</f>
        <v>5</v>
      </c>
      <c r="Q3" s="6" t="str">
        <f t="shared" ref="Q3:Q12" si="11">REPLACE(A3, 1, 2, "i")</f>
        <v>iiya</v>
      </c>
      <c r="R3" s="6" t="str">
        <f t="shared" ref="R3:R12" si="12">SUBSTITUTE(A3, "a", "hh")</f>
        <v>Priyhh</v>
      </c>
    </row>
    <row r="4" spans="1:18">
      <c r="A4" s="4" t="s">
        <v>8</v>
      </c>
      <c r="B4" s="4" t="s">
        <v>3</v>
      </c>
      <c r="C4" s="4">
        <v>45000</v>
      </c>
      <c r="D4" s="4">
        <v>95000</v>
      </c>
      <c r="E4" s="4">
        <v>91</v>
      </c>
      <c r="F4" s="6" t="str">
        <f t="shared" si="0"/>
        <v>AMIT</v>
      </c>
      <c r="G4" s="6" t="str">
        <f t="shared" si="1"/>
        <v>amit</v>
      </c>
      <c r="H4" s="6" t="str">
        <f t="shared" si="2"/>
        <v>Amit</v>
      </c>
      <c r="I4" s="6" t="str">
        <f t="shared" si="3"/>
        <v>Am</v>
      </c>
      <c r="J4" s="6" t="str">
        <f t="shared" si="4"/>
        <v>it</v>
      </c>
      <c r="K4" s="6" t="str">
        <f t="shared" si="5"/>
        <v>mi</v>
      </c>
      <c r="L4" s="6">
        <f t="shared" si="6"/>
        <v>4</v>
      </c>
      <c r="M4" s="6" t="str">
        <f t="shared" si="7"/>
        <v>Amit</v>
      </c>
      <c r="N4" s="6" t="str">
        <f t="shared" si="8"/>
        <v>Amit Sales</v>
      </c>
      <c r="O4" s="6" t="str">
        <f t="shared" si="9"/>
        <v>Amit Sales</v>
      </c>
      <c r="P4" s="6" t="e">
        <f t="shared" si="10"/>
        <v>#VALUE!</v>
      </c>
      <c r="Q4" s="6" t="str">
        <f t="shared" si="11"/>
        <v>iit</v>
      </c>
      <c r="R4" s="6" t="str">
        <f t="shared" si="12"/>
        <v>Amit</v>
      </c>
    </row>
    <row r="5" spans="1:18">
      <c r="A5" s="5" t="s">
        <v>9</v>
      </c>
      <c r="B5" s="5" t="s">
        <v>10</v>
      </c>
      <c r="C5" s="5">
        <v>50000</v>
      </c>
      <c r="D5" s="5">
        <v>70000</v>
      </c>
      <c r="E5" s="5">
        <v>88</v>
      </c>
      <c r="F5" s="6" t="str">
        <f t="shared" si="0"/>
        <v>SNEHA</v>
      </c>
      <c r="G5" s="6" t="str">
        <f t="shared" si="1"/>
        <v>sneha</v>
      </c>
      <c r="H5" s="6" t="str">
        <f t="shared" si="2"/>
        <v>Sneha</v>
      </c>
      <c r="I5" s="6" t="str">
        <f t="shared" si="3"/>
        <v>Sn</v>
      </c>
      <c r="J5" s="6" t="str">
        <f t="shared" si="4"/>
        <v>ha</v>
      </c>
      <c r="K5" s="6" t="str">
        <f t="shared" si="5"/>
        <v>ne</v>
      </c>
      <c r="L5" s="6">
        <f t="shared" si="6"/>
        <v>5</v>
      </c>
      <c r="M5" s="6" t="str">
        <f t="shared" si="7"/>
        <v>Sneha</v>
      </c>
      <c r="N5" s="6" t="str">
        <f t="shared" si="8"/>
        <v>Sneha IT</v>
      </c>
      <c r="O5" s="6" t="str">
        <f t="shared" si="9"/>
        <v>Sneha IT</v>
      </c>
      <c r="P5" s="6">
        <f t="shared" si="10"/>
        <v>5</v>
      </c>
      <c r="Q5" s="6" t="str">
        <f t="shared" si="11"/>
        <v>ieha</v>
      </c>
      <c r="R5" s="6" t="str">
        <f t="shared" si="12"/>
        <v>Snehhh</v>
      </c>
    </row>
    <row r="6" spans="1:18">
      <c r="A6" s="4" t="s">
        <v>11</v>
      </c>
      <c r="B6" s="4" t="s">
        <v>3</v>
      </c>
      <c r="C6" s="4">
        <v>38000</v>
      </c>
      <c r="D6" s="4">
        <v>78000</v>
      </c>
      <c r="E6" s="4">
        <v>72</v>
      </c>
      <c r="F6" s="6" t="str">
        <f t="shared" si="0"/>
        <v>KARAN</v>
      </c>
      <c r="G6" s="6" t="str">
        <f t="shared" si="1"/>
        <v>karan</v>
      </c>
      <c r="H6" s="6" t="str">
        <f t="shared" si="2"/>
        <v>Karan</v>
      </c>
      <c r="I6" s="6" t="str">
        <f t="shared" si="3"/>
        <v>Ka</v>
      </c>
      <c r="J6" s="6" t="str">
        <f t="shared" si="4"/>
        <v>an</v>
      </c>
      <c r="K6" s="6" t="str">
        <f t="shared" si="5"/>
        <v>ar</v>
      </c>
      <c r="L6" s="6">
        <f t="shared" si="6"/>
        <v>5</v>
      </c>
      <c r="M6" s="6" t="str">
        <f t="shared" si="7"/>
        <v>Karan</v>
      </c>
      <c r="N6" s="6" t="str">
        <f t="shared" si="8"/>
        <v>Karan Sales</v>
      </c>
      <c r="O6" s="6" t="str">
        <f t="shared" si="9"/>
        <v>Karan Sales</v>
      </c>
      <c r="P6" s="6">
        <f t="shared" si="10"/>
        <v>2</v>
      </c>
      <c r="Q6" s="6" t="str">
        <f t="shared" si="11"/>
        <v>iran</v>
      </c>
      <c r="R6" s="6" t="str">
        <f t="shared" si="12"/>
        <v>Khhrhhn</v>
      </c>
    </row>
    <row r="7" spans="1:18">
      <c r="A7" s="5" t="s">
        <v>12</v>
      </c>
      <c r="B7" s="5" t="s">
        <v>7</v>
      </c>
      <c r="C7" s="5">
        <v>42000</v>
      </c>
      <c r="D7" s="5">
        <v>65000</v>
      </c>
      <c r="E7" s="5">
        <v>80</v>
      </c>
      <c r="F7" s="6" t="str">
        <f t="shared" si="0"/>
        <v>NEHA</v>
      </c>
      <c r="G7" s="6" t="str">
        <f t="shared" si="1"/>
        <v>neha</v>
      </c>
      <c r="H7" s="6" t="str">
        <f t="shared" si="2"/>
        <v>Neha</v>
      </c>
      <c r="I7" s="6" t="str">
        <f t="shared" si="3"/>
        <v>Ne</v>
      </c>
      <c r="J7" s="6" t="str">
        <f t="shared" si="4"/>
        <v>ha</v>
      </c>
      <c r="K7" s="6" t="str">
        <f t="shared" si="5"/>
        <v>eh</v>
      </c>
      <c r="L7" s="6">
        <f t="shared" si="6"/>
        <v>4</v>
      </c>
      <c r="M7" s="6" t="str">
        <f t="shared" si="7"/>
        <v>Neha</v>
      </c>
      <c r="N7" s="6" t="str">
        <f t="shared" si="8"/>
        <v>Neha HR</v>
      </c>
      <c r="O7" s="6" t="str">
        <f t="shared" si="9"/>
        <v>Neha HR</v>
      </c>
      <c r="P7" s="6">
        <f t="shared" si="10"/>
        <v>4</v>
      </c>
      <c r="Q7" s="6" t="str">
        <f t="shared" si="11"/>
        <v>iha</v>
      </c>
      <c r="R7" s="6" t="str">
        <f t="shared" si="12"/>
        <v>Nehhh</v>
      </c>
    </row>
    <row r="8" spans="1:18">
      <c r="A8" s="4" t="s">
        <v>13</v>
      </c>
      <c r="B8" s="4" t="s">
        <v>10</v>
      </c>
      <c r="C8" s="4">
        <v>55000</v>
      </c>
      <c r="D8" s="4">
        <v>105000</v>
      </c>
      <c r="E8" s="4">
        <v>95</v>
      </c>
      <c r="F8" s="6" t="str">
        <f t="shared" si="0"/>
        <v>ROHIT</v>
      </c>
      <c r="G8" s="6" t="str">
        <f t="shared" si="1"/>
        <v>rohit</v>
      </c>
      <c r="H8" s="6" t="str">
        <f t="shared" si="2"/>
        <v>Rohit</v>
      </c>
      <c r="I8" s="6" t="str">
        <f t="shared" si="3"/>
        <v>Ro</v>
      </c>
      <c r="J8" s="6" t="str">
        <f t="shared" si="4"/>
        <v>it</v>
      </c>
      <c r="K8" s="6" t="str">
        <f t="shared" si="5"/>
        <v>oh</v>
      </c>
      <c r="L8" s="6">
        <f t="shared" si="6"/>
        <v>5</v>
      </c>
      <c r="M8" s="6" t="str">
        <f t="shared" si="7"/>
        <v>Rohit</v>
      </c>
      <c r="N8" s="6" t="str">
        <f t="shared" si="8"/>
        <v>Rohit IT</v>
      </c>
      <c r="O8" s="6" t="str">
        <f t="shared" si="9"/>
        <v>Rohit IT</v>
      </c>
      <c r="P8" s="6" t="e">
        <f t="shared" si="10"/>
        <v>#VALUE!</v>
      </c>
      <c r="Q8" s="6" t="str">
        <f t="shared" si="11"/>
        <v>ihit</v>
      </c>
      <c r="R8" s="6" t="str">
        <f t="shared" si="12"/>
        <v>Rohit</v>
      </c>
    </row>
    <row r="9" spans="1:18">
      <c r="A9" s="5" t="s">
        <v>14</v>
      </c>
      <c r="B9" s="5" t="s">
        <v>3</v>
      </c>
      <c r="C9" s="5">
        <v>36000</v>
      </c>
      <c r="D9" s="5">
        <v>72000</v>
      </c>
      <c r="E9" s="5">
        <v>68</v>
      </c>
      <c r="F9" s="6" t="str">
        <f t="shared" si="0"/>
        <v>POOJA</v>
      </c>
      <c r="G9" s="6" t="str">
        <f t="shared" si="1"/>
        <v>pooja</v>
      </c>
      <c r="H9" s="6" t="str">
        <f t="shared" si="2"/>
        <v>Pooja</v>
      </c>
      <c r="I9" s="6" t="str">
        <f t="shared" si="3"/>
        <v>Po</v>
      </c>
      <c r="J9" s="6" t="str">
        <f t="shared" si="4"/>
        <v>ja</v>
      </c>
      <c r="K9" s="6" t="str">
        <f t="shared" si="5"/>
        <v>oo</v>
      </c>
      <c r="L9" s="6">
        <f t="shared" si="6"/>
        <v>5</v>
      </c>
      <c r="M9" s="6" t="str">
        <f t="shared" si="7"/>
        <v>Pooja</v>
      </c>
      <c r="N9" s="6" t="str">
        <f t="shared" si="8"/>
        <v>Pooja Sales</v>
      </c>
      <c r="O9" s="6" t="str">
        <f t="shared" si="9"/>
        <v>Pooja Sales</v>
      </c>
      <c r="P9" s="6">
        <f t="shared" si="10"/>
        <v>5</v>
      </c>
      <c r="Q9" s="6" t="str">
        <f t="shared" si="11"/>
        <v>ioja</v>
      </c>
      <c r="R9" s="6" t="str">
        <f t="shared" si="12"/>
        <v>Poojhh</v>
      </c>
    </row>
    <row r="10" spans="1:18">
      <c r="A10" s="4" t="s">
        <v>15</v>
      </c>
      <c r="B10" s="4" t="s">
        <v>10</v>
      </c>
      <c r="C10" s="4">
        <v>48000</v>
      </c>
      <c r="D10" s="4">
        <v>90000</v>
      </c>
      <c r="E10" s="4">
        <v>85</v>
      </c>
      <c r="F10" s="6" t="str">
        <f t="shared" si="0"/>
        <v>AKASH</v>
      </c>
      <c r="G10" s="6" t="str">
        <f t="shared" si="1"/>
        <v>akash</v>
      </c>
      <c r="H10" s="6" t="str">
        <f t="shared" si="2"/>
        <v>Akash</v>
      </c>
      <c r="I10" s="6" t="str">
        <f t="shared" si="3"/>
        <v>Ak</v>
      </c>
      <c r="J10" s="6" t="str">
        <f t="shared" si="4"/>
        <v>sh</v>
      </c>
      <c r="K10" s="6" t="str">
        <f t="shared" si="5"/>
        <v>ka</v>
      </c>
      <c r="L10" s="6">
        <f t="shared" si="6"/>
        <v>5</v>
      </c>
      <c r="M10" s="6" t="str">
        <f t="shared" si="7"/>
        <v>Akash</v>
      </c>
      <c r="N10" s="6" t="str">
        <f t="shared" si="8"/>
        <v>Akash IT</v>
      </c>
      <c r="O10" s="6" t="str">
        <f t="shared" si="9"/>
        <v>Akash IT</v>
      </c>
      <c r="P10" s="6">
        <f t="shared" si="10"/>
        <v>3</v>
      </c>
      <c r="Q10" s="6" t="str">
        <f t="shared" si="11"/>
        <v>iash</v>
      </c>
      <c r="R10" s="6" t="str">
        <f t="shared" si="12"/>
        <v>Akhhsh</v>
      </c>
    </row>
    <row r="11" spans="1:18">
      <c r="A11" s="5" t="s">
        <v>16</v>
      </c>
      <c r="B11" s="5" t="s">
        <v>7</v>
      </c>
      <c r="C11" s="5">
        <v>39000</v>
      </c>
      <c r="D11" s="5">
        <v>58000</v>
      </c>
      <c r="E11" s="5">
        <v>70</v>
      </c>
      <c r="F11" s="6" t="str">
        <f t="shared" si="0"/>
        <v>MEENA</v>
      </c>
      <c r="G11" s="6" t="str">
        <f t="shared" si="1"/>
        <v>meena</v>
      </c>
      <c r="H11" s="6" t="str">
        <f t="shared" si="2"/>
        <v>Meena</v>
      </c>
      <c r="I11" s="6" t="str">
        <f t="shared" si="3"/>
        <v>Me</v>
      </c>
      <c r="J11" s="6" t="str">
        <f t="shared" si="4"/>
        <v>na</v>
      </c>
      <c r="K11" s="6" t="str">
        <f t="shared" si="5"/>
        <v>ee</v>
      </c>
      <c r="L11" s="6">
        <f t="shared" si="6"/>
        <v>5</v>
      </c>
      <c r="M11" s="6" t="str">
        <f t="shared" si="7"/>
        <v>Meena</v>
      </c>
      <c r="N11" s="6" t="str">
        <f t="shared" si="8"/>
        <v>Meena HR</v>
      </c>
      <c r="O11" s="6" t="str">
        <f t="shared" si="9"/>
        <v>Meena HR</v>
      </c>
      <c r="P11" s="6">
        <f t="shared" si="10"/>
        <v>5</v>
      </c>
      <c r="Q11" s="6" t="str">
        <f t="shared" si="11"/>
        <v>iena</v>
      </c>
      <c r="R11" s="6" t="str">
        <f t="shared" si="12"/>
        <v>Meenhh</v>
      </c>
    </row>
    <row r="12" spans="1:18">
      <c r="A12" s="4" t="s">
        <v>5</v>
      </c>
      <c r="B12" s="4" t="s">
        <v>3</v>
      </c>
      <c r="C12" s="4">
        <v>35000</v>
      </c>
      <c r="D12" s="4">
        <v>85000</v>
      </c>
      <c r="E12" s="4">
        <v>82</v>
      </c>
      <c r="F12" s="6" t="str">
        <f t="shared" si="0"/>
        <v>RAHUL</v>
      </c>
      <c r="G12" s="6" t="str">
        <f t="shared" si="1"/>
        <v>rahul</v>
      </c>
      <c r="H12" s="6" t="str">
        <f t="shared" si="2"/>
        <v>Rahul</v>
      </c>
      <c r="I12" s="6" t="str">
        <f t="shared" si="3"/>
        <v>Ra</v>
      </c>
      <c r="J12" s="6" t="str">
        <f t="shared" si="4"/>
        <v>ul</v>
      </c>
      <c r="K12" s="6" t="str">
        <f t="shared" si="5"/>
        <v>ah</v>
      </c>
      <c r="L12" s="6">
        <f t="shared" si="6"/>
        <v>5</v>
      </c>
      <c r="M12" s="6" t="str">
        <f t="shared" si="7"/>
        <v>Rahul</v>
      </c>
      <c r="N12" s="6" t="str">
        <f t="shared" si="8"/>
        <v>Rahul Sales</v>
      </c>
      <c r="O12" s="6" t="str">
        <f t="shared" si="9"/>
        <v>Rahul Sales</v>
      </c>
      <c r="P12" s="6">
        <f t="shared" si="10"/>
        <v>2</v>
      </c>
      <c r="Q12" s="6" t="str">
        <f t="shared" si="11"/>
        <v>ihul</v>
      </c>
      <c r="R12" s="6" t="str">
        <f t="shared" si="12"/>
        <v>Rhhhul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2026-10-07T04:46:25Z</dcterms:created>
  <dcterms:modified xsi:type="dcterms:W3CDTF">2026-10-22T10:09:20Z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C966600769CA478EBCBC0AC4EC9F96A9_11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